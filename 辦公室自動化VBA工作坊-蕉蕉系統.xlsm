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3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E1C06204-5C49-4A3C-90FC-73D78B395682}" xr6:coauthVersionLast="36" xr6:coauthVersionMax="45" xr10:uidLastSave="{00000000-0000-0000-0000-000000000000}"/>
  <bookViews>
    <workbookView xWindow="-105" yWindow="-105" windowWidth="23250" windowHeight="12570" tabRatio="567" activeTab="4" xr2:uid="{7D793B30-319C-4255-8D97-69E176E6654F}"/>
  </bookViews>
  <sheets>
    <sheet name="成本" sheetId="1" r:id="rId1"/>
    <sheet name="收益" sheetId="2" r:id="rId2"/>
    <sheet name="成本收益比較" sheetId="5" r:id="rId3"/>
    <sheet name="圖表-收益" sheetId="6" r:id="rId4"/>
    <sheet name="圖表" sheetId="30" r:id="rId5"/>
  </sheets>
  <definedNames>
    <definedName name="_xlnm._FilterDatabase" localSheetId="0" hidden="1">成本!$A$1:$M$31</definedName>
    <definedName name="_xlnm._FilterDatabase" localSheetId="1" hidden="1">收益!$A$1:$M$1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E8" i="5"/>
  <c r="E9" i="5"/>
  <c r="E10" i="5"/>
  <c r="E11" i="5"/>
  <c r="E12" i="5"/>
  <c r="E13" i="5"/>
  <c r="E2" i="5"/>
</calcChain>
</file>

<file path=xl/sharedStrings.xml><?xml version="1.0" encoding="utf-8"?>
<sst xmlns="http://schemas.openxmlformats.org/spreadsheetml/2006/main" count="238" uniqueCount="51">
  <si>
    <t>日期</t>
    <phoneticPr fontId="1" type="noConversion"/>
  </si>
  <si>
    <t>登記日期</t>
    <phoneticPr fontId="1" type="noConversion"/>
  </si>
  <si>
    <t>登記人</t>
    <phoneticPr fontId="1" type="noConversion"/>
  </si>
  <si>
    <t>項目</t>
    <phoneticPr fontId="1" type="noConversion"/>
  </si>
  <si>
    <t>數量</t>
    <phoneticPr fontId="1" type="noConversion"/>
  </si>
  <si>
    <t>備註</t>
    <phoneticPr fontId="1" type="noConversion"/>
  </si>
  <si>
    <t>統一編號</t>
    <phoneticPr fontId="1" type="noConversion"/>
  </si>
  <si>
    <t>總成本</t>
    <phoneticPr fontId="1" type="noConversion"/>
  </si>
  <si>
    <t>總收入</t>
    <phoneticPr fontId="1" type="noConversion"/>
  </si>
  <si>
    <t>月份</t>
    <phoneticPr fontId="1" type="noConversion"/>
  </si>
  <si>
    <t>利潤</t>
    <phoneticPr fontId="1" type="noConversion"/>
  </si>
  <si>
    <t>單位</t>
    <phoneticPr fontId="1" type="noConversion"/>
  </si>
  <si>
    <t>金額</t>
    <phoneticPr fontId="1" type="noConversion"/>
  </si>
  <si>
    <t>品種</t>
    <phoneticPr fontId="1" type="noConversion"/>
  </si>
  <si>
    <t>對象</t>
    <phoneticPr fontId="1" type="noConversion"/>
  </si>
  <si>
    <t>備註</t>
    <phoneticPr fontId="1" type="noConversion"/>
  </si>
  <si>
    <t>類型</t>
    <phoneticPr fontId="1" type="noConversion"/>
  </si>
  <si>
    <t>年份</t>
    <phoneticPr fontId="1" type="noConversion"/>
  </si>
  <si>
    <t>日</t>
    <phoneticPr fontId="1" type="noConversion"/>
  </si>
  <si>
    <t>月</t>
    <phoneticPr fontId="1" type="noConversion"/>
  </si>
  <si>
    <t>年</t>
    <phoneticPr fontId="1" type="noConversion"/>
  </si>
  <si>
    <t>價格</t>
    <phoneticPr fontId="1" type="noConversion"/>
  </si>
  <si>
    <t>項目</t>
  </si>
  <si>
    <t>金額</t>
  </si>
  <si>
    <t>寶島蕉</t>
  </si>
  <si>
    <t>北蕉</t>
  </si>
  <si>
    <t>機器設備費</t>
  </si>
  <si>
    <t>肥料</t>
  </si>
  <si>
    <t>土地租金</t>
  </si>
  <si>
    <t>人力費</t>
  </si>
  <si>
    <t>公斤</t>
    <phoneticPr fontId="1" type="noConversion"/>
  </si>
  <si>
    <t>台蕉5號</t>
    <phoneticPr fontId="4" type="noConversion"/>
  </si>
  <si>
    <t>固定成本</t>
    <phoneticPr fontId="1" type="noConversion"/>
  </si>
  <si>
    <t>間接成本</t>
    <phoneticPr fontId="1" type="noConversion"/>
  </si>
  <si>
    <t>水電費</t>
  </si>
  <si>
    <t>台</t>
    <phoneticPr fontId="1" type="noConversion"/>
  </si>
  <si>
    <t>生產成本</t>
    <phoneticPr fontId="1" type="noConversion"/>
  </si>
  <si>
    <t>農藥</t>
  </si>
  <si>
    <t>罐</t>
    <phoneticPr fontId="1" type="noConversion"/>
  </si>
  <si>
    <t>袋</t>
    <phoneticPr fontId="1" type="noConversion"/>
  </si>
  <si>
    <t>其他</t>
  </si>
  <si>
    <t>箱子</t>
  </si>
  <si>
    <t>種子</t>
  </si>
  <si>
    <t>Sean</t>
    <phoneticPr fontId="1" type="noConversion"/>
  </si>
  <si>
    <t>Bobo</t>
    <phoneticPr fontId="1" type="noConversion"/>
  </si>
  <si>
    <t>Amy</t>
    <phoneticPr fontId="1" type="noConversion"/>
  </si>
  <si>
    <t>Vivan</t>
    <phoneticPr fontId="1" type="noConversion"/>
  </si>
  <si>
    <t>Lisa</t>
    <phoneticPr fontId="1" type="noConversion"/>
  </si>
  <si>
    <t>Bob</t>
    <phoneticPr fontId="1" type="noConversion"/>
  </si>
  <si>
    <t>Jason</t>
    <phoneticPr fontId="1" type="noConversion"/>
  </si>
  <si>
    <t>Jay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</si>
</sst>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</cellXfs>
  <cellStyles count="2">
    <cellStyle name="一般" xfId="0" builtinId="0"/>
    <cellStyle name="一般 2" xfId="1" xr:uid="{6DF1F451-3BE0-4BED-9CD1-01A63665C5D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圖表!$B$1</c:f>
              <c:strCache>
                <c:ptCount val="1"/>
                <c:pt idx="0">
                  <c:v>金額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27-41D9-A5D4-F5BD0ABACD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27-41D9-A5D4-F5BD0ABACDD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27-41D9-A5D4-F5BD0ABACDD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27-41D9-A5D4-F5BD0ABACDD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27-41D9-A5D4-F5BD0ABACDD7}"/>
              </c:ext>
            </c:extLst>
          </c:dPt>
          <c:cat>
            <c:strRef>
              <c:f>圖表!$A$2:$A$6</c:f>
              <c:strCache>
                <c:ptCount val="5"/>
                <c:pt idx="0">
                  <c:v>種子</c:v>
                </c:pt>
                <c:pt idx="1">
                  <c:v>農藥</c:v>
                </c:pt>
                <c:pt idx="2">
                  <c:v>箱子</c:v>
                </c:pt>
                <c:pt idx="3">
                  <c:v>其他</c:v>
                </c:pt>
                <c:pt idx="4">
                  <c:v>肥料</c:v>
                </c:pt>
              </c:strCache>
            </c:strRef>
          </c:cat>
          <c:val>
            <c:numRef>
              <c:f>圖表!$B$2:$B$6</c:f>
              <c:numCache>
                <c:formatCode>General</c:formatCode>
                <c:ptCount val="5"/>
                <c:pt idx="0">
                  <c:v>820</c:v>
                </c:pt>
                <c:pt idx="1">
                  <c:v>1590</c:v>
                </c:pt>
                <c:pt idx="2">
                  <c:v>130</c:v>
                </c:pt>
                <c:pt idx="3">
                  <c:v>300</c:v>
                </c:pt>
                <c:pt idx="4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41-45C6-ABD6-3EC2A5C9D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521970</xdr:colOff>
      <xdr:row>5</xdr:row>
      <xdr:rowOff>80010</xdr:rowOff>
    </xdr:from>
    <xdr:to>
      <xdr:col>15</xdr:col>
      <xdr:colOff>217170</xdr:colOff>
      <xdr:row>18</xdr:row>
      <xdr:rowOff>148590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5755BC61-C00A-4CFE-AB5D-9C39B2D145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6ABB2-47AF-422A-BEE3-92C581786ED9}">
  <sheetPr codeName="工作表1"/>
  <dimension ref="A1:M31"/>
  <sheetViews>
    <sheetView workbookViewId="0">
      <selection activeCell="G25" sqref="G25"/>
    </sheetView>
  </sheetViews>
  <sheetFormatPr defaultColWidth="12.75" defaultRowHeight="15.75" x14ac:dyDescent="0.25"/>
  <cols>
    <col min="1" max="1" width="12.875" style="1" bestFit="1" customWidth="1"/>
    <col min="2" max="2" width="8.25" style="1" bestFit="1" customWidth="1"/>
    <col min="3" max="3" width="12.625" style="1" customWidth="1"/>
    <col min="4" max="4" width="7.5" style="1" hidden="1" customWidth="1"/>
    <col min="5" max="5" width="0.125" style="1" hidden="1" customWidth="1"/>
    <col min="6" max="6" width="0.5" style="1" hidden="1" customWidth="1"/>
    <col min="7" max="8" width="12.875" style="1" bestFit="1" customWidth="1"/>
    <col min="9" max="10" width="6" style="1" bestFit="1" customWidth="1"/>
    <col min="11" max="11" width="8.25" style="1" bestFit="1" customWidth="1"/>
    <col min="12" max="12" width="10.5" style="1" bestFit="1" customWidth="1"/>
    <col min="13" max="13" width="6" style="1" bestFit="1" customWidth="1"/>
    <col min="14" max="16384" width="12.75" style="1"/>
  </cols>
  <sheetData>
    <row r="1" spans="1:13" x14ac:dyDescent="0.25">
      <c r="A1" s="1" t="s">
        <v>1</v>
      </c>
      <c r="B1" s="1" t="s">
        <v>2</v>
      </c>
      <c r="C1" s="1" t="s">
        <v>0</v>
      </c>
      <c r="D1" s="1" t="s">
        <v>20</v>
      </c>
      <c r="E1" s="1" t="s">
        <v>19</v>
      </c>
      <c r="F1" s="1" t="s">
        <v>18</v>
      </c>
      <c r="G1" s="1" t="s">
        <v>16</v>
      </c>
      <c r="H1" s="1" t="s">
        <v>3</v>
      </c>
      <c r="I1" s="1" t="s">
        <v>4</v>
      </c>
      <c r="J1" s="1" t="s">
        <v>11</v>
      </c>
      <c r="K1" s="1" t="s">
        <v>12</v>
      </c>
      <c r="L1" s="1" t="s">
        <v>6</v>
      </c>
      <c r="M1" s="1" t="s">
        <v>5</v>
      </c>
    </row>
    <row r="2" spans="1:13" x14ac:dyDescent="0.25">
      <c r="A2" s="2">
        <v>43831</v>
      </c>
      <c r="B2" s="1" t="s">
        <v>43</v>
      </c>
      <c r="C2" s="2">
        <v>43831</v>
      </c>
      <c r="D2" s="4">
        <v>2020</v>
      </c>
      <c r="E2" s="4">
        <v>1</v>
      </c>
      <c r="F2" s="4">
        <v>1</v>
      </c>
      <c r="G2" s="1" t="s">
        <v>32</v>
      </c>
      <c r="H2" s="1" t="s">
        <v>28</v>
      </c>
      <c r="K2" s="1">
        <v>60000</v>
      </c>
    </row>
    <row r="3" spans="1:13" x14ac:dyDescent="0.25">
      <c r="A3" s="2">
        <v>43836</v>
      </c>
      <c r="B3" s="1" t="s">
        <v>44</v>
      </c>
      <c r="C3" s="2">
        <v>43836</v>
      </c>
      <c r="D3" s="4">
        <v>2020</v>
      </c>
      <c r="E3" s="4">
        <v>1</v>
      </c>
      <c r="F3" s="4">
        <v>6</v>
      </c>
      <c r="G3" s="1" t="s">
        <v>33</v>
      </c>
      <c r="H3" s="1" t="s">
        <v>34</v>
      </c>
      <c r="K3" s="1">
        <v>972</v>
      </c>
    </row>
    <row r="4" spans="1:13" x14ac:dyDescent="0.25">
      <c r="A4" s="2">
        <v>43843</v>
      </c>
      <c r="B4" s="1" t="s">
        <v>45</v>
      </c>
      <c r="C4" s="2">
        <v>43843</v>
      </c>
      <c r="D4" s="4">
        <v>2020</v>
      </c>
      <c r="E4" s="4">
        <v>1</v>
      </c>
      <c r="F4" s="4">
        <v>13</v>
      </c>
      <c r="G4" s="1" t="s">
        <v>33</v>
      </c>
      <c r="H4" s="1" t="s">
        <v>29</v>
      </c>
      <c r="K4" s="1">
        <v>23000</v>
      </c>
    </row>
    <row r="5" spans="1:13" x14ac:dyDescent="0.25">
      <c r="A5" s="2">
        <v>43850</v>
      </c>
      <c r="B5" s="1" t="s">
        <v>46</v>
      </c>
      <c r="C5" s="2">
        <v>43850</v>
      </c>
      <c r="D5" s="4">
        <v>2020</v>
      </c>
      <c r="E5" s="4">
        <v>1</v>
      </c>
      <c r="F5" s="4">
        <v>20</v>
      </c>
      <c r="G5" s="1" t="s">
        <v>33</v>
      </c>
      <c r="H5" s="1" t="s">
        <v>26</v>
      </c>
      <c r="I5" s="1">
        <v>1</v>
      </c>
      <c r="J5" s="1" t="s">
        <v>35</v>
      </c>
      <c r="K5" s="1">
        <v>20000</v>
      </c>
    </row>
    <row r="6" spans="1:13" x14ac:dyDescent="0.25">
      <c r="A6" s="2">
        <v>43851</v>
      </c>
      <c r="B6" s="1" t="s">
        <v>47</v>
      </c>
      <c r="C6" s="2">
        <v>43851</v>
      </c>
      <c r="D6" s="4">
        <v>2020</v>
      </c>
      <c r="E6" s="4">
        <v>1</v>
      </c>
      <c r="F6" s="4">
        <v>21</v>
      </c>
      <c r="G6" s="1" t="s">
        <v>36</v>
      </c>
      <c r="H6" s="1" t="s">
        <v>37</v>
      </c>
      <c r="I6" s="1">
        <v>5</v>
      </c>
      <c r="J6" s="1" t="s">
        <v>38</v>
      </c>
      <c r="K6" s="1">
        <v>500</v>
      </c>
    </row>
    <row r="7" spans="1:13" x14ac:dyDescent="0.25">
      <c r="A7" s="2">
        <v>43854</v>
      </c>
      <c r="B7" s="1" t="s">
        <v>48</v>
      </c>
      <c r="C7" s="2">
        <v>43854</v>
      </c>
      <c r="D7" s="4">
        <v>2020</v>
      </c>
      <c r="E7" s="4">
        <v>1</v>
      </c>
      <c r="F7" s="4">
        <v>24</v>
      </c>
      <c r="G7" s="1" t="s">
        <v>36</v>
      </c>
      <c r="H7" s="1" t="s">
        <v>27</v>
      </c>
      <c r="I7" s="1">
        <v>8</v>
      </c>
      <c r="J7" s="1" t="s">
        <v>39</v>
      </c>
      <c r="K7" s="1">
        <v>1000</v>
      </c>
    </row>
    <row r="8" spans="1:13" x14ac:dyDescent="0.25">
      <c r="A8" s="2">
        <v>43857</v>
      </c>
      <c r="B8" s="1" t="s">
        <v>49</v>
      </c>
      <c r="C8" s="2">
        <v>43857</v>
      </c>
      <c r="D8" s="4">
        <v>2020</v>
      </c>
      <c r="E8" s="4">
        <v>1</v>
      </c>
      <c r="F8" s="4">
        <v>27</v>
      </c>
      <c r="G8" s="1" t="s">
        <v>33</v>
      </c>
      <c r="H8" s="1" t="s">
        <v>40</v>
      </c>
      <c r="K8" s="1">
        <v>560</v>
      </c>
    </row>
    <row r="9" spans="1:13" x14ac:dyDescent="0.25">
      <c r="A9" s="2">
        <v>43859</v>
      </c>
      <c r="B9" s="1" t="s">
        <v>50</v>
      </c>
      <c r="C9" s="2">
        <v>43859</v>
      </c>
      <c r="D9" s="4">
        <v>2020</v>
      </c>
      <c r="E9" s="4">
        <v>1</v>
      </c>
      <c r="F9" s="4">
        <v>29</v>
      </c>
      <c r="G9" s="1" t="s">
        <v>36</v>
      </c>
      <c r="H9" s="1" t="s">
        <v>27</v>
      </c>
      <c r="I9" s="1">
        <v>10</v>
      </c>
      <c r="J9" s="1" t="s">
        <v>39</v>
      </c>
      <c r="K9" s="1">
        <v>1200</v>
      </c>
    </row>
    <row r="10" spans="1:13" x14ac:dyDescent="0.25">
      <c r="A10" s="2">
        <v>43860</v>
      </c>
      <c r="B10" s="1" t="s">
        <v>46</v>
      </c>
      <c r="C10" s="2">
        <v>43860</v>
      </c>
      <c r="D10" s="4">
        <v>2020</v>
      </c>
      <c r="E10" s="4">
        <v>1</v>
      </c>
      <c r="F10" s="4">
        <v>30</v>
      </c>
      <c r="G10" s="1" t="s">
        <v>36</v>
      </c>
      <c r="H10" s="1" t="s">
        <v>37</v>
      </c>
      <c r="J10" s="1" t="s">
        <v>38</v>
      </c>
      <c r="K10" s="1">
        <v>200</v>
      </c>
    </row>
    <row r="11" spans="1:13" x14ac:dyDescent="0.25">
      <c r="A11" s="2">
        <v>43861</v>
      </c>
      <c r="B11" s="1" t="s">
        <v>47</v>
      </c>
      <c r="C11" s="2">
        <v>43861</v>
      </c>
      <c r="D11" s="4">
        <v>2020</v>
      </c>
      <c r="E11" s="4">
        <v>1</v>
      </c>
      <c r="F11" s="4">
        <v>31</v>
      </c>
      <c r="G11" s="1" t="s">
        <v>36</v>
      </c>
      <c r="H11" s="1" t="s">
        <v>41</v>
      </c>
      <c r="K11" s="1">
        <v>410</v>
      </c>
    </row>
    <row r="12" spans="1:13" x14ac:dyDescent="0.25">
      <c r="A12" s="2">
        <v>43868</v>
      </c>
      <c r="B12" s="1" t="s">
        <v>48</v>
      </c>
      <c r="C12" s="2">
        <v>43868</v>
      </c>
      <c r="D12" s="4">
        <v>2020</v>
      </c>
      <c r="E12" s="4">
        <v>2</v>
      </c>
      <c r="F12" s="4">
        <v>7</v>
      </c>
      <c r="G12" s="1" t="s">
        <v>36</v>
      </c>
      <c r="H12" s="1" t="s">
        <v>42</v>
      </c>
      <c r="I12" s="1">
        <v>9</v>
      </c>
      <c r="J12" s="1" t="s">
        <v>39</v>
      </c>
      <c r="K12" s="1">
        <v>180</v>
      </c>
    </row>
    <row r="13" spans="1:13" x14ac:dyDescent="0.25">
      <c r="A13" s="2">
        <v>43871</v>
      </c>
      <c r="B13" s="1" t="s">
        <v>49</v>
      </c>
      <c r="C13" s="2">
        <v>43871</v>
      </c>
      <c r="D13" s="4">
        <v>2020</v>
      </c>
      <c r="E13" s="4">
        <v>2</v>
      </c>
      <c r="F13" s="4">
        <v>10</v>
      </c>
      <c r="G13" s="1" t="s">
        <v>36</v>
      </c>
      <c r="H13" s="1" t="s">
        <v>37</v>
      </c>
      <c r="I13" s="1">
        <v>8</v>
      </c>
      <c r="J13" s="1" t="s">
        <v>38</v>
      </c>
      <c r="K13" s="1">
        <v>620</v>
      </c>
    </row>
    <row r="14" spans="1:13" x14ac:dyDescent="0.25">
      <c r="A14" s="2">
        <v>43872</v>
      </c>
      <c r="B14" s="1" t="s">
        <v>44</v>
      </c>
      <c r="C14" s="2">
        <v>43872</v>
      </c>
      <c r="D14" s="4">
        <v>2020</v>
      </c>
      <c r="E14" s="4">
        <v>2</v>
      </c>
      <c r="F14" s="4">
        <v>11</v>
      </c>
      <c r="G14" s="1" t="s">
        <v>36</v>
      </c>
      <c r="H14" s="1" t="s">
        <v>42</v>
      </c>
      <c r="I14" s="1">
        <v>20</v>
      </c>
      <c r="J14" s="1" t="s">
        <v>39</v>
      </c>
      <c r="K14" s="1">
        <v>220</v>
      </c>
    </row>
    <row r="15" spans="1:13" x14ac:dyDescent="0.25">
      <c r="A15" s="2">
        <v>43876</v>
      </c>
      <c r="B15" s="1" t="s">
        <v>45</v>
      </c>
      <c r="C15" s="2">
        <v>43876</v>
      </c>
      <c r="D15" s="4">
        <v>2020</v>
      </c>
      <c r="E15" s="4">
        <v>2</v>
      </c>
      <c r="F15" s="4">
        <v>15</v>
      </c>
      <c r="G15" s="1" t="s">
        <v>33</v>
      </c>
      <c r="H15" s="1" t="s">
        <v>29</v>
      </c>
      <c r="K15" s="1">
        <v>23000</v>
      </c>
    </row>
    <row r="16" spans="1:13" x14ac:dyDescent="0.25">
      <c r="A16" s="2">
        <v>43877</v>
      </c>
      <c r="B16" s="1" t="s">
        <v>46</v>
      </c>
      <c r="C16" s="2">
        <v>43877</v>
      </c>
      <c r="D16" s="4">
        <v>2020</v>
      </c>
      <c r="E16" s="4">
        <v>2</v>
      </c>
      <c r="F16" s="4">
        <v>16</v>
      </c>
      <c r="G16" s="1" t="s">
        <v>36</v>
      </c>
      <c r="H16" s="1" t="s">
        <v>37</v>
      </c>
      <c r="I16" s="1">
        <v>10</v>
      </c>
      <c r="J16" s="1" t="s">
        <v>38</v>
      </c>
      <c r="K16" s="1">
        <v>840</v>
      </c>
    </row>
    <row r="17" spans="1:11" x14ac:dyDescent="0.25">
      <c r="A17" s="2">
        <v>43878</v>
      </c>
      <c r="B17" s="1" t="s">
        <v>47</v>
      </c>
      <c r="C17" s="2">
        <v>43878</v>
      </c>
      <c r="D17" s="4">
        <v>2020</v>
      </c>
      <c r="E17" s="4">
        <v>2</v>
      </c>
      <c r="F17" s="4">
        <v>17</v>
      </c>
      <c r="G17" s="1" t="s">
        <v>33</v>
      </c>
      <c r="H17" s="1" t="s">
        <v>40</v>
      </c>
      <c r="K17" s="1">
        <v>420</v>
      </c>
    </row>
    <row r="18" spans="1:11" x14ac:dyDescent="0.25">
      <c r="A18" s="2">
        <v>43882</v>
      </c>
      <c r="B18" s="1" t="s">
        <v>43</v>
      </c>
      <c r="C18" s="2">
        <v>43882</v>
      </c>
      <c r="D18" s="4">
        <v>2020</v>
      </c>
      <c r="E18" s="4">
        <v>2</v>
      </c>
      <c r="F18" s="4">
        <v>21</v>
      </c>
      <c r="G18" s="1" t="s">
        <v>36</v>
      </c>
      <c r="H18" s="1" t="s">
        <v>42</v>
      </c>
      <c r="I18" s="1">
        <v>3</v>
      </c>
      <c r="J18" s="1" t="s">
        <v>39</v>
      </c>
      <c r="K18" s="1">
        <v>40</v>
      </c>
    </row>
    <row r="19" spans="1:11" x14ac:dyDescent="0.25">
      <c r="A19" s="2">
        <v>43883</v>
      </c>
      <c r="B19" s="1" t="s">
        <v>44</v>
      </c>
      <c r="C19" s="2">
        <v>43883</v>
      </c>
      <c r="D19" s="4">
        <v>2020</v>
      </c>
      <c r="E19" s="4">
        <v>2</v>
      </c>
      <c r="F19" s="4">
        <v>22</v>
      </c>
      <c r="G19" s="1" t="s">
        <v>36</v>
      </c>
      <c r="H19" s="1" t="s">
        <v>41</v>
      </c>
      <c r="K19" s="1">
        <v>130</v>
      </c>
    </row>
    <row r="20" spans="1:11" x14ac:dyDescent="0.25">
      <c r="A20" s="2">
        <v>43884</v>
      </c>
      <c r="B20" s="1" t="s">
        <v>45</v>
      </c>
      <c r="C20" s="2">
        <v>43884</v>
      </c>
      <c r="D20" s="4">
        <v>2020</v>
      </c>
      <c r="E20" s="4">
        <v>2</v>
      </c>
      <c r="F20" s="4">
        <v>23</v>
      </c>
      <c r="G20" s="1" t="s">
        <v>36</v>
      </c>
      <c r="H20" s="1" t="s">
        <v>40</v>
      </c>
      <c r="K20" s="1">
        <v>300</v>
      </c>
    </row>
    <row r="21" spans="1:11" x14ac:dyDescent="0.25">
      <c r="A21" s="2">
        <v>43890</v>
      </c>
      <c r="B21" s="1" t="s">
        <v>46</v>
      </c>
      <c r="C21" s="2">
        <v>43890</v>
      </c>
      <c r="D21" s="4">
        <v>2020</v>
      </c>
      <c r="E21" s="4">
        <v>2</v>
      </c>
      <c r="F21" s="4">
        <v>29</v>
      </c>
      <c r="G21" s="1" t="s">
        <v>36</v>
      </c>
      <c r="H21" s="1" t="s">
        <v>37</v>
      </c>
      <c r="I21" s="1">
        <v>2</v>
      </c>
      <c r="J21" s="1" t="s">
        <v>38</v>
      </c>
      <c r="K21" s="1">
        <v>130</v>
      </c>
    </row>
    <row r="22" spans="1:11" x14ac:dyDescent="0.25">
      <c r="A22" s="2">
        <v>43891</v>
      </c>
      <c r="B22" s="1" t="s">
        <v>47</v>
      </c>
      <c r="C22" s="2">
        <v>43891</v>
      </c>
      <c r="D22" s="4">
        <v>2020</v>
      </c>
      <c r="E22" s="4">
        <v>3</v>
      </c>
      <c r="F22" s="4">
        <v>1</v>
      </c>
      <c r="G22" s="1" t="s">
        <v>36</v>
      </c>
      <c r="H22" s="1" t="s">
        <v>42</v>
      </c>
      <c r="I22" s="1">
        <v>15</v>
      </c>
      <c r="J22" s="1" t="s">
        <v>39</v>
      </c>
      <c r="K22" s="1">
        <v>90</v>
      </c>
    </row>
    <row r="23" spans="1:11" x14ac:dyDescent="0.25">
      <c r="A23" s="2">
        <v>43892</v>
      </c>
      <c r="B23" s="1" t="s">
        <v>48</v>
      </c>
      <c r="C23" s="2">
        <v>43892</v>
      </c>
      <c r="D23" s="4">
        <v>2020</v>
      </c>
      <c r="E23" s="4">
        <v>3</v>
      </c>
      <c r="F23" s="4">
        <v>2</v>
      </c>
      <c r="G23" s="1" t="s">
        <v>33</v>
      </c>
      <c r="H23" s="1" t="s">
        <v>34</v>
      </c>
      <c r="K23" s="1">
        <v>1051</v>
      </c>
    </row>
    <row r="24" spans="1:11" x14ac:dyDescent="0.25">
      <c r="A24" s="2">
        <v>43897</v>
      </c>
      <c r="B24" s="1" t="s">
        <v>49</v>
      </c>
      <c r="C24" s="2">
        <v>43897</v>
      </c>
      <c r="D24" s="4">
        <v>2020</v>
      </c>
      <c r="E24" s="4">
        <v>3</v>
      </c>
      <c r="F24" s="4">
        <v>7</v>
      </c>
      <c r="G24" s="1" t="s">
        <v>36</v>
      </c>
      <c r="H24" s="1" t="s">
        <v>42</v>
      </c>
      <c r="I24" s="1">
        <v>7</v>
      </c>
      <c r="J24" s="1" t="s">
        <v>39</v>
      </c>
      <c r="K24" s="1">
        <v>70</v>
      </c>
    </row>
    <row r="25" spans="1:11" x14ac:dyDescent="0.25">
      <c r="A25" s="2">
        <v>43900</v>
      </c>
      <c r="B25" s="1" t="s">
        <v>50</v>
      </c>
      <c r="C25" s="2">
        <v>43900</v>
      </c>
      <c r="D25" s="4">
        <v>2020</v>
      </c>
      <c r="E25" s="4">
        <v>3</v>
      </c>
      <c r="F25" s="4">
        <v>10</v>
      </c>
      <c r="G25" s="1" t="s">
        <v>33</v>
      </c>
      <c r="H25" s="1" t="s">
        <v>29</v>
      </c>
      <c r="K25" s="1">
        <v>23000</v>
      </c>
    </row>
    <row r="26" spans="1:11" x14ac:dyDescent="0.25">
      <c r="A26" s="2">
        <v>43901</v>
      </c>
      <c r="B26" s="1" t="s">
        <v>46</v>
      </c>
      <c r="C26" s="2">
        <v>43901</v>
      </c>
      <c r="D26" s="4">
        <v>2020</v>
      </c>
      <c r="E26" s="4">
        <v>3</v>
      </c>
      <c r="F26" s="4">
        <v>11</v>
      </c>
      <c r="G26" s="1" t="s">
        <v>36</v>
      </c>
      <c r="H26" s="1" t="s">
        <v>27</v>
      </c>
      <c r="I26" s="1">
        <v>8</v>
      </c>
      <c r="J26" s="1" t="s">
        <v>39</v>
      </c>
      <c r="K26" s="1">
        <v>700</v>
      </c>
    </row>
    <row r="27" spans="1:11" x14ac:dyDescent="0.25">
      <c r="A27" s="2">
        <v>43902</v>
      </c>
      <c r="B27" s="1" t="s">
        <v>47</v>
      </c>
      <c r="C27" s="2">
        <v>43902</v>
      </c>
      <c r="D27" s="4">
        <v>2020</v>
      </c>
      <c r="E27" s="4">
        <v>3</v>
      </c>
      <c r="F27" s="4">
        <v>12</v>
      </c>
      <c r="G27" s="1" t="s">
        <v>32</v>
      </c>
      <c r="H27" s="1" t="s">
        <v>28</v>
      </c>
      <c r="K27" s="1">
        <v>60000</v>
      </c>
    </row>
    <row r="28" spans="1:11" x14ac:dyDescent="0.25">
      <c r="A28" s="2">
        <v>43907</v>
      </c>
      <c r="B28" s="1" t="s">
        <v>49</v>
      </c>
      <c r="C28" s="2">
        <v>43907</v>
      </c>
      <c r="D28" s="4">
        <v>2020</v>
      </c>
      <c r="E28" s="4">
        <v>3</v>
      </c>
      <c r="F28" s="4">
        <v>17</v>
      </c>
      <c r="G28" s="1" t="s">
        <v>36</v>
      </c>
      <c r="H28" s="1" t="s">
        <v>42</v>
      </c>
      <c r="I28" s="1">
        <v>10</v>
      </c>
      <c r="J28" s="1" t="s">
        <v>39</v>
      </c>
      <c r="K28" s="1">
        <v>60</v>
      </c>
    </row>
    <row r="29" spans="1:11" x14ac:dyDescent="0.25">
      <c r="A29" s="2">
        <v>43913</v>
      </c>
      <c r="B29" s="1" t="s">
        <v>50</v>
      </c>
      <c r="C29" s="2">
        <v>43913</v>
      </c>
      <c r="D29" s="4">
        <v>2020</v>
      </c>
      <c r="E29" s="4">
        <v>3</v>
      </c>
      <c r="F29" s="4">
        <v>23</v>
      </c>
      <c r="G29" s="1" t="s">
        <v>26</v>
      </c>
      <c r="H29" s="1" t="s">
        <v>26</v>
      </c>
      <c r="I29" s="1">
        <v>1</v>
      </c>
      <c r="J29" s="1" t="s">
        <v>35</v>
      </c>
      <c r="K29" s="1">
        <v>41000</v>
      </c>
    </row>
    <row r="30" spans="1:11" x14ac:dyDescent="0.25">
      <c r="A30" s="2">
        <v>43918</v>
      </c>
      <c r="B30" s="1" t="s">
        <v>46</v>
      </c>
      <c r="C30" s="2">
        <v>43918</v>
      </c>
      <c r="D30" s="4">
        <v>2020</v>
      </c>
      <c r="E30" s="4">
        <v>3</v>
      </c>
      <c r="F30" s="4">
        <v>28</v>
      </c>
      <c r="G30" s="1" t="s">
        <v>36</v>
      </c>
      <c r="H30" s="1" t="s">
        <v>27</v>
      </c>
      <c r="I30" s="1">
        <v>4</v>
      </c>
      <c r="J30" s="1" t="s">
        <v>39</v>
      </c>
      <c r="K30" s="1">
        <v>500</v>
      </c>
    </row>
    <row r="31" spans="1:11" x14ac:dyDescent="0.25">
      <c r="A31" s="2">
        <v>43921</v>
      </c>
      <c r="B31" s="1" t="s">
        <v>47</v>
      </c>
      <c r="C31" s="2">
        <v>43921</v>
      </c>
      <c r="D31" s="4">
        <v>2020</v>
      </c>
      <c r="E31" s="4">
        <v>3</v>
      </c>
      <c r="F31" s="4">
        <v>31</v>
      </c>
      <c r="G31" s="1" t="s">
        <v>36</v>
      </c>
      <c r="H31" s="1" t="s">
        <v>42</v>
      </c>
      <c r="K31" s="1">
        <v>160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50E69-32E8-428D-87B6-C16A54D98AF2}">
  <sheetPr codeName="工作表2"/>
  <dimension ref="A1:M31"/>
  <sheetViews>
    <sheetView workbookViewId="0">
      <selection activeCell="B48" sqref="B48"/>
    </sheetView>
  </sheetViews>
  <sheetFormatPr defaultColWidth="9" defaultRowHeight="15.75" x14ac:dyDescent="0.25"/>
  <cols>
    <col min="1" max="1" width="14.375" style="1" bestFit="1" customWidth="1"/>
    <col min="2" max="2" width="8.25" style="1" bestFit="1" customWidth="1"/>
    <col min="3" max="3" width="14.375" style="2" customWidth="1"/>
    <col min="4" max="5" width="0.25" style="3" hidden="1" customWidth="1"/>
    <col min="6" max="6" width="0.125" style="3" customWidth="1"/>
    <col min="7" max="7" width="9.5" style="1" bestFit="1" customWidth="1"/>
    <col min="8" max="9" width="6" style="1" bestFit="1" customWidth="1"/>
    <col min="10" max="10" width="6.875" style="1" bestFit="1" customWidth="1"/>
    <col min="11" max="11" width="6" style="1" bestFit="1" customWidth="1"/>
    <col min="12" max="12" width="10.5" style="1" bestFit="1" customWidth="1"/>
    <col min="13" max="13" width="6" style="1" bestFit="1" customWidth="1"/>
    <col min="14" max="16384" width="9" style="1"/>
  </cols>
  <sheetData>
    <row r="1" spans="1:13" x14ac:dyDescent="0.25">
      <c r="A1" s="1" t="s">
        <v>1</v>
      </c>
      <c r="B1" s="1" t="s">
        <v>2</v>
      </c>
      <c r="C1" s="2" t="s">
        <v>0</v>
      </c>
      <c r="D1" s="3" t="s">
        <v>20</v>
      </c>
      <c r="E1" s="3" t="s">
        <v>19</v>
      </c>
      <c r="F1" s="3" t="s">
        <v>18</v>
      </c>
      <c r="G1" s="1" t="s">
        <v>13</v>
      </c>
      <c r="H1" s="1" t="s">
        <v>4</v>
      </c>
      <c r="I1" s="1" t="s">
        <v>11</v>
      </c>
      <c r="J1" s="1" t="s">
        <v>21</v>
      </c>
      <c r="K1" s="1" t="s">
        <v>14</v>
      </c>
      <c r="L1" s="1" t="s">
        <v>6</v>
      </c>
      <c r="M1" s="1" t="s">
        <v>15</v>
      </c>
    </row>
    <row r="2" spans="1:13" x14ac:dyDescent="0.25">
      <c r="A2" s="2">
        <v>43831</v>
      </c>
      <c r="B2" s="1" t="s">
        <v>47</v>
      </c>
      <c r="C2" s="2">
        <v>43831</v>
      </c>
      <c r="D2" s="1">
        <v>2020</v>
      </c>
      <c r="E2" s="1">
        <v>1</v>
      </c>
      <c r="F2" s="1">
        <v>1</v>
      </c>
      <c r="G2" s="1" t="s">
        <v>25</v>
      </c>
      <c r="H2" s="1">
        <v>22</v>
      </c>
      <c r="I2" s="1" t="s">
        <v>30</v>
      </c>
      <c r="J2" s="1">
        <v>4351</v>
      </c>
    </row>
    <row r="3" spans="1:13" x14ac:dyDescent="0.25">
      <c r="A3" s="2">
        <v>43835</v>
      </c>
      <c r="B3" s="1" t="s">
        <v>43</v>
      </c>
      <c r="C3" s="2">
        <v>43835</v>
      </c>
      <c r="D3" s="1">
        <v>2020</v>
      </c>
      <c r="E3" s="1">
        <v>1</v>
      </c>
      <c r="F3" s="1">
        <v>5</v>
      </c>
      <c r="G3" s="1" t="s">
        <v>25</v>
      </c>
      <c r="H3" s="1">
        <v>83</v>
      </c>
      <c r="I3" s="1" t="s">
        <v>30</v>
      </c>
      <c r="J3" s="1">
        <v>5153</v>
      </c>
    </row>
    <row r="4" spans="1:13" x14ac:dyDescent="0.25">
      <c r="A4" s="2">
        <v>43837</v>
      </c>
      <c r="B4" s="1" t="s">
        <v>44</v>
      </c>
      <c r="C4" s="2">
        <v>43837</v>
      </c>
      <c r="D4" s="1">
        <v>2020</v>
      </c>
      <c r="E4" s="1">
        <v>1</v>
      </c>
      <c r="F4" s="1">
        <v>7</v>
      </c>
      <c r="G4" s="1" t="s">
        <v>24</v>
      </c>
      <c r="H4" s="1">
        <v>90</v>
      </c>
      <c r="I4" s="1" t="s">
        <v>30</v>
      </c>
      <c r="J4" s="1">
        <v>5970</v>
      </c>
    </row>
    <row r="5" spans="1:13" x14ac:dyDescent="0.25">
      <c r="A5" s="2">
        <v>43842</v>
      </c>
      <c r="B5" s="1" t="s">
        <v>45</v>
      </c>
      <c r="C5" s="2">
        <v>43842</v>
      </c>
      <c r="D5" s="1">
        <v>2020</v>
      </c>
      <c r="E5" s="1">
        <v>1</v>
      </c>
      <c r="F5" s="1">
        <v>12</v>
      </c>
      <c r="G5" s="1" t="s">
        <v>25</v>
      </c>
      <c r="H5" s="1">
        <v>45</v>
      </c>
      <c r="I5" s="1" t="s">
        <v>30</v>
      </c>
      <c r="J5" s="1">
        <v>1432</v>
      </c>
    </row>
    <row r="6" spans="1:13" x14ac:dyDescent="0.25">
      <c r="A6" s="2">
        <v>43844</v>
      </c>
      <c r="B6" s="1" t="s">
        <v>46</v>
      </c>
      <c r="C6" s="2">
        <v>43844</v>
      </c>
      <c r="D6" s="1">
        <v>2020</v>
      </c>
      <c r="E6" s="1">
        <v>1</v>
      </c>
      <c r="F6" s="1">
        <v>14</v>
      </c>
      <c r="G6" s="1" t="s">
        <v>24</v>
      </c>
      <c r="H6" s="1">
        <v>26</v>
      </c>
      <c r="I6" s="1" t="s">
        <v>30</v>
      </c>
      <c r="J6" s="1">
        <v>6943</v>
      </c>
    </row>
    <row r="7" spans="1:13" x14ac:dyDescent="0.25">
      <c r="A7" s="2">
        <v>43847</v>
      </c>
      <c r="B7" s="1" t="s">
        <v>47</v>
      </c>
      <c r="C7" s="2">
        <v>43847</v>
      </c>
      <c r="D7" s="1">
        <v>2020</v>
      </c>
      <c r="E7" s="1">
        <v>1</v>
      </c>
      <c r="F7" s="1">
        <v>17</v>
      </c>
      <c r="G7" s="1" t="s">
        <v>31</v>
      </c>
      <c r="H7" s="1">
        <v>86</v>
      </c>
      <c r="I7" s="1" t="s">
        <v>30</v>
      </c>
      <c r="J7" s="1">
        <v>1542</v>
      </c>
    </row>
    <row r="8" spans="1:13" x14ac:dyDescent="0.25">
      <c r="A8" s="2">
        <v>43848</v>
      </c>
      <c r="B8" s="1" t="s">
        <v>48</v>
      </c>
      <c r="C8" s="2">
        <v>43848</v>
      </c>
      <c r="D8" s="1">
        <v>2020</v>
      </c>
      <c r="E8" s="1">
        <v>1</v>
      </c>
      <c r="F8" s="1">
        <v>18</v>
      </c>
      <c r="G8" s="1" t="s">
        <v>24</v>
      </c>
      <c r="H8" s="1">
        <v>42</v>
      </c>
      <c r="I8" s="1" t="s">
        <v>30</v>
      </c>
      <c r="J8" s="1">
        <v>2364</v>
      </c>
    </row>
    <row r="9" spans="1:13" x14ac:dyDescent="0.25">
      <c r="A9" s="2">
        <v>43852</v>
      </c>
      <c r="B9" s="1" t="s">
        <v>49</v>
      </c>
      <c r="C9" s="2">
        <v>43852</v>
      </c>
      <c r="D9" s="1">
        <v>2020</v>
      </c>
      <c r="E9" s="1">
        <v>1</v>
      </c>
      <c r="F9" s="1">
        <v>22</v>
      </c>
      <c r="G9" s="1" t="s">
        <v>31</v>
      </c>
      <c r="H9" s="1">
        <v>32</v>
      </c>
      <c r="I9" s="1" t="s">
        <v>30</v>
      </c>
      <c r="J9" s="1">
        <v>5855</v>
      </c>
    </row>
    <row r="10" spans="1:13" x14ac:dyDescent="0.25">
      <c r="A10" s="2">
        <v>43860</v>
      </c>
      <c r="B10" s="1" t="s">
        <v>50</v>
      </c>
      <c r="C10" s="2">
        <v>43860</v>
      </c>
      <c r="D10" s="1">
        <v>2020</v>
      </c>
      <c r="E10" s="1">
        <v>1</v>
      </c>
      <c r="F10" s="1">
        <v>30</v>
      </c>
      <c r="G10" s="1" t="s">
        <v>24</v>
      </c>
      <c r="H10" s="1">
        <v>76</v>
      </c>
      <c r="I10" s="1" t="s">
        <v>30</v>
      </c>
      <c r="J10" s="1">
        <v>1468</v>
      </c>
    </row>
    <row r="11" spans="1:13" x14ac:dyDescent="0.25">
      <c r="A11" s="2">
        <v>43861</v>
      </c>
      <c r="B11" s="1" t="s">
        <v>46</v>
      </c>
      <c r="C11" s="2">
        <v>43861</v>
      </c>
      <c r="D11" s="1">
        <v>2020</v>
      </c>
      <c r="E11" s="1">
        <v>1</v>
      </c>
      <c r="F11" s="1">
        <v>31</v>
      </c>
      <c r="G11" s="1" t="s">
        <v>24</v>
      </c>
      <c r="H11" s="1">
        <v>87</v>
      </c>
      <c r="I11" s="1" t="s">
        <v>30</v>
      </c>
      <c r="J11" s="1">
        <v>4269</v>
      </c>
    </row>
    <row r="12" spans="1:13" x14ac:dyDescent="0.25">
      <c r="A12" s="2">
        <v>43862</v>
      </c>
      <c r="B12" s="1" t="s">
        <v>47</v>
      </c>
      <c r="C12" s="2">
        <v>43862</v>
      </c>
      <c r="D12" s="1">
        <v>2020</v>
      </c>
      <c r="E12" s="1">
        <v>2</v>
      </c>
      <c r="F12" s="1">
        <v>1</v>
      </c>
      <c r="G12" s="1" t="s">
        <v>31</v>
      </c>
      <c r="H12" s="1">
        <v>36</v>
      </c>
      <c r="I12" s="1" t="s">
        <v>30</v>
      </c>
      <c r="J12" s="1">
        <v>3574</v>
      </c>
    </row>
    <row r="13" spans="1:13" x14ac:dyDescent="0.25">
      <c r="A13" s="2">
        <v>43865</v>
      </c>
      <c r="B13" s="1" t="s">
        <v>49</v>
      </c>
      <c r="C13" s="2">
        <v>43865</v>
      </c>
      <c r="D13" s="1">
        <v>2020</v>
      </c>
      <c r="E13" s="1">
        <v>2</v>
      </c>
      <c r="F13" s="1">
        <v>4</v>
      </c>
      <c r="G13" s="1" t="s">
        <v>31</v>
      </c>
      <c r="H13" s="1">
        <v>39</v>
      </c>
      <c r="I13" s="1" t="s">
        <v>30</v>
      </c>
      <c r="J13" s="1">
        <v>3621</v>
      </c>
    </row>
    <row r="14" spans="1:13" x14ac:dyDescent="0.25">
      <c r="A14" s="2">
        <v>43866</v>
      </c>
      <c r="B14" s="1" t="s">
        <v>50</v>
      </c>
      <c r="C14" s="2">
        <v>43866</v>
      </c>
      <c r="D14" s="1">
        <v>2020</v>
      </c>
      <c r="E14" s="1">
        <v>2</v>
      </c>
      <c r="F14" s="1">
        <v>5</v>
      </c>
      <c r="G14" s="1" t="s">
        <v>31</v>
      </c>
      <c r="H14" s="1">
        <v>38</v>
      </c>
      <c r="I14" s="1" t="s">
        <v>30</v>
      </c>
      <c r="J14" s="1">
        <v>2164</v>
      </c>
    </row>
    <row r="15" spans="1:13" x14ac:dyDescent="0.25">
      <c r="A15" s="2">
        <v>43873</v>
      </c>
      <c r="B15" s="1" t="s">
        <v>46</v>
      </c>
      <c r="C15" s="2">
        <v>43873</v>
      </c>
      <c r="D15" s="1">
        <v>2020</v>
      </c>
      <c r="E15" s="1">
        <v>2</v>
      </c>
      <c r="F15" s="1">
        <v>12</v>
      </c>
      <c r="G15" s="1" t="s">
        <v>25</v>
      </c>
      <c r="H15" s="1">
        <v>243</v>
      </c>
      <c r="I15" s="1" t="s">
        <v>30</v>
      </c>
      <c r="J15" s="1">
        <v>2643</v>
      </c>
    </row>
    <row r="16" spans="1:13" x14ac:dyDescent="0.25">
      <c r="A16" s="2">
        <v>43874</v>
      </c>
      <c r="B16" s="1" t="s">
        <v>47</v>
      </c>
      <c r="C16" s="2">
        <v>43874</v>
      </c>
      <c r="D16" s="1">
        <v>2020</v>
      </c>
      <c r="E16" s="1">
        <v>2</v>
      </c>
      <c r="F16" s="1">
        <v>13</v>
      </c>
      <c r="G16" s="1" t="s">
        <v>25</v>
      </c>
      <c r="H16" s="1">
        <v>50</v>
      </c>
      <c r="I16" s="1" t="s">
        <v>30</v>
      </c>
      <c r="J16" s="1">
        <v>2548</v>
      </c>
    </row>
    <row r="17" spans="1:10" x14ac:dyDescent="0.25">
      <c r="A17" s="2">
        <v>43881</v>
      </c>
      <c r="B17" s="1" t="s">
        <v>43</v>
      </c>
      <c r="C17" s="2">
        <v>43881</v>
      </c>
      <c r="D17" s="1">
        <v>2020</v>
      </c>
      <c r="E17" s="1">
        <v>2</v>
      </c>
      <c r="F17" s="1">
        <v>20</v>
      </c>
      <c r="G17" s="1" t="s">
        <v>25</v>
      </c>
      <c r="H17" s="1">
        <v>17</v>
      </c>
      <c r="I17" s="1" t="s">
        <v>30</v>
      </c>
      <c r="J17" s="1">
        <v>1563</v>
      </c>
    </row>
    <row r="18" spans="1:10" x14ac:dyDescent="0.25">
      <c r="A18" s="2">
        <v>43884</v>
      </c>
      <c r="B18" s="1" t="s">
        <v>44</v>
      </c>
      <c r="C18" s="2">
        <v>43884</v>
      </c>
      <c r="D18" s="1">
        <v>2020</v>
      </c>
      <c r="E18" s="1">
        <v>2</v>
      </c>
      <c r="F18" s="1">
        <v>23</v>
      </c>
      <c r="G18" s="1" t="s">
        <v>31</v>
      </c>
      <c r="H18" s="1">
        <v>20</v>
      </c>
      <c r="I18" s="1" t="s">
        <v>30</v>
      </c>
      <c r="J18" s="1">
        <v>1365</v>
      </c>
    </row>
    <row r="19" spans="1:10" x14ac:dyDescent="0.25">
      <c r="A19" s="2">
        <v>43888</v>
      </c>
      <c r="B19" s="1" t="s">
        <v>45</v>
      </c>
      <c r="C19" s="2">
        <v>43888</v>
      </c>
      <c r="D19" s="1">
        <v>2020</v>
      </c>
      <c r="E19" s="1">
        <v>2</v>
      </c>
      <c r="F19" s="1">
        <v>27</v>
      </c>
      <c r="G19" s="1" t="s">
        <v>24</v>
      </c>
      <c r="H19" s="1">
        <v>34</v>
      </c>
      <c r="I19" s="1" t="s">
        <v>30</v>
      </c>
      <c r="J19" s="1">
        <v>4325</v>
      </c>
    </row>
    <row r="20" spans="1:10" x14ac:dyDescent="0.25">
      <c r="A20" s="2">
        <v>43889</v>
      </c>
      <c r="B20" s="1" t="s">
        <v>46</v>
      </c>
      <c r="C20" s="2">
        <v>43889</v>
      </c>
      <c r="D20" s="1">
        <v>2020</v>
      </c>
      <c r="E20" s="1">
        <v>2</v>
      </c>
      <c r="F20" s="1">
        <v>28</v>
      </c>
      <c r="G20" s="1" t="s">
        <v>24</v>
      </c>
      <c r="H20" s="1">
        <v>50</v>
      </c>
      <c r="I20" s="1" t="s">
        <v>30</v>
      </c>
      <c r="J20" s="1">
        <v>6125</v>
      </c>
    </row>
    <row r="21" spans="1:10" x14ac:dyDescent="0.25">
      <c r="A21" s="2">
        <v>43890</v>
      </c>
      <c r="B21" s="1" t="s">
        <v>47</v>
      </c>
      <c r="C21" s="2">
        <v>43890</v>
      </c>
      <c r="D21" s="1">
        <v>2020</v>
      </c>
      <c r="E21" s="1">
        <v>2</v>
      </c>
      <c r="F21" s="1">
        <v>29</v>
      </c>
      <c r="G21" s="1" t="s">
        <v>31</v>
      </c>
      <c r="H21" s="1">
        <v>41</v>
      </c>
      <c r="I21" s="1" t="s">
        <v>30</v>
      </c>
      <c r="J21" s="1">
        <v>3334</v>
      </c>
    </row>
    <row r="22" spans="1:10" x14ac:dyDescent="0.25">
      <c r="A22" s="2">
        <v>43891</v>
      </c>
      <c r="B22" s="1" t="s">
        <v>48</v>
      </c>
      <c r="C22" s="2">
        <v>43891</v>
      </c>
      <c r="D22" s="1">
        <v>2020</v>
      </c>
      <c r="E22" s="1">
        <v>3</v>
      </c>
      <c r="F22" s="1">
        <v>1</v>
      </c>
      <c r="G22" s="1" t="s">
        <v>24</v>
      </c>
      <c r="H22" s="1">
        <v>18</v>
      </c>
      <c r="I22" s="1" t="s">
        <v>30</v>
      </c>
      <c r="J22" s="1">
        <v>1235</v>
      </c>
    </row>
    <row r="23" spans="1:10" x14ac:dyDescent="0.25">
      <c r="A23" s="2">
        <v>43893</v>
      </c>
      <c r="B23" s="1" t="s">
        <v>49</v>
      </c>
      <c r="C23" s="2">
        <v>43893</v>
      </c>
      <c r="D23" s="1">
        <v>2020</v>
      </c>
      <c r="E23" s="1">
        <v>3</v>
      </c>
      <c r="F23" s="1">
        <v>3</v>
      </c>
      <c r="G23" s="1" t="s">
        <v>31</v>
      </c>
      <c r="H23" s="1">
        <v>97</v>
      </c>
      <c r="I23" s="1" t="s">
        <v>30</v>
      </c>
      <c r="J23" s="1">
        <v>5564</v>
      </c>
    </row>
    <row r="24" spans="1:10" x14ac:dyDescent="0.25">
      <c r="A24" s="2">
        <v>43895</v>
      </c>
      <c r="B24" s="1" t="s">
        <v>50</v>
      </c>
      <c r="C24" s="2">
        <v>43895</v>
      </c>
      <c r="D24" s="1">
        <v>2020</v>
      </c>
      <c r="E24" s="1">
        <v>3</v>
      </c>
      <c r="F24" s="1">
        <v>5</v>
      </c>
      <c r="G24" s="1" t="s">
        <v>24</v>
      </c>
      <c r="H24" s="1">
        <v>43</v>
      </c>
      <c r="I24" s="1" t="s">
        <v>30</v>
      </c>
      <c r="J24" s="1">
        <v>1212</v>
      </c>
    </row>
    <row r="25" spans="1:10" x14ac:dyDescent="0.25">
      <c r="A25" s="2">
        <v>43900</v>
      </c>
      <c r="B25" s="1" t="s">
        <v>46</v>
      </c>
      <c r="C25" s="2">
        <v>43900</v>
      </c>
      <c r="D25" s="1">
        <v>2020</v>
      </c>
      <c r="E25" s="1">
        <v>3</v>
      </c>
      <c r="F25" s="1">
        <v>10</v>
      </c>
      <c r="G25" s="1" t="s">
        <v>25</v>
      </c>
      <c r="H25" s="1">
        <v>28</v>
      </c>
      <c r="I25" s="1" t="s">
        <v>30</v>
      </c>
      <c r="J25" s="1">
        <v>1916</v>
      </c>
    </row>
    <row r="26" spans="1:10" x14ac:dyDescent="0.25">
      <c r="A26" s="2">
        <v>43901</v>
      </c>
      <c r="B26" s="1" t="s">
        <v>47</v>
      </c>
      <c r="C26" s="2">
        <v>43901</v>
      </c>
      <c r="D26" s="1">
        <v>2020</v>
      </c>
      <c r="E26" s="1">
        <v>3</v>
      </c>
      <c r="F26" s="1">
        <v>11</v>
      </c>
      <c r="G26" s="1" t="s">
        <v>31</v>
      </c>
      <c r="H26" s="1">
        <v>50</v>
      </c>
      <c r="I26" s="1" t="s">
        <v>30</v>
      </c>
      <c r="J26" s="1">
        <v>3215</v>
      </c>
    </row>
    <row r="27" spans="1:10" x14ac:dyDescent="0.25">
      <c r="A27" s="2">
        <v>43905</v>
      </c>
      <c r="B27" s="1" t="s">
        <v>48</v>
      </c>
      <c r="C27" s="2">
        <v>43905</v>
      </c>
      <c r="D27" s="1">
        <v>2020</v>
      </c>
      <c r="E27" s="1">
        <v>3</v>
      </c>
      <c r="F27" s="1">
        <v>15</v>
      </c>
      <c r="G27" s="1" t="s">
        <v>25</v>
      </c>
      <c r="H27" s="1">
        <v>46</v>
      </c>
      <c r="I27" s="1" t="s">
        <v>30</v>
      </c>
      <c r="J27" s="1">
        <v>6333</v>
      </c>
    </row>
    <row r="28" spans="1:10" x14ac:dyDescent="0.25">
      <c r="A28" s="2">
        <v>43907</v>
      </c>
      <c r="B28" s="1" t="s">
        <v>49</v>
      </c>
      <c r="C28" s="2">
        <v>43907</v>
      </c>
      <c r="D28" s="1">
        <v>2020</v>
      </c>
      <c r="E28" s="1">
        <v>3</v>
      </c>
      <c r="F28" s="1">
        <v>17</v>
      </c>
      <c r="G28" s="1" t="s">
        <v>24</v>
      </c>
      <c r="H28" s="1">
        <v>33</v>
      </c>
      <c r="I28" s="1" t="s">
        <v>30</v>
      </c>
      <c r="J28" s="1">
        <v>6615</v>
      </c>
    </row>
    <row r="29" spans="1:10" x14ac:dyDescent="0.25">
      <c r="A29" s="2">
        <v>43908</v>
      </c>
      <c r="B29" s="1" t="s">
        <v>44</v>
      </c>
      <c r="C29" s="2">
        <v>43908</v>
      </c>
      <c r="D29" s="1">
        <v>2020</v>
      </c>
      <c r="E29" s="1">
        <v>3</v>
      </c>
      <c r="F29" s="1">
        <v>18</v>
      </c>
      <c r="G29" s="1" t="s">
        <v>31</v>
      </c>
      <c r="H29" s="1">
        <v>23</v>
      </c>
      <c r="I29" s="1" t="s">
        <v>30</v>
      </c>
      <c r="J29" s="1">
        <v>2244</v>
      </c>
    </row>
    <row r="30" spans="1:10" x14ac:dyDescent="0.25">
      <c r="A30" s="2">
        <v>43911</v>
      </c>
      <c r="B30" s="1" t="s">
        <v>45</v>
      </c>
      <c r="C30" s="2">
        <v>43911</v>
      </c>
      <c r="D30" s="1">
        <v>2020</v>
      </c>
      <c r="E30" s="1">
        <v>3</v>
      </c>
      <c r="F30" s="1">
        <v>21</v>
      </c>
      <c r="G30" s="1" t="s">
        <v>24</v>
      </c>
      <c r="H30" s="1">
        <v>84</v>
      </c>
      <c r="I30" s="1" t="s">
        <v>30</v>
      </c>
      <c r="J30" s="1">
        <v>5441</v>
      </c>
    </row>
    <row r="31" spans="1:10" x14ac:dyDescent="0.25">
      <c r="A31" s="2">
        <v>43921</v>
      </c>
      <c r="B31" s="1" t="s">
        <v>46</v>
      </c>
      <c r="C31" s="2">
        <v>43921</v>
      </c>
      <c r="D31" s="1">
        <v>2020</v>
      </c>
      <c r="E31" s="1">
        <v>3</v>
      </c>
      <c r="F31" s="1">
        <v>31</v>
      </c>
      <c r="G31" s="1" t="s">
        <v>31</v>
      </c>
      <c r="H31" s="1">
        <v>16</v>
      </c>
      <c r="I31" s="1" t="s">
        <v>30</v>
      </c>
      <c r="J31" s="1">
        <v>1694</v>
      </c>
    </row>
  </sheetData>
  <sortState ref="A2:M274">
    <sortCondition ref="C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0E862-4E6A-406B-9D12-E2E19AD64E18}">
  <sheetPr codeName="工作表3"/>
  <dimension ref="A1:E13"/>
  <sheetViews>
    <sheetView workbookViewId="0">
      <selection activeCell="P8" sqref="P8"/>
    </sheetView>
  </sheetViews>
  <sheetFormatPr defaultColWidth="9" defaultRowHeight="15.75" x14ac:dyDescent="0.25"/>
  <cols>
    <col min="1" max="2" width="9" style="1"/>
    <col min="3" max="3" width="9.5" style="1" bestFit="1" customWidth="1"/>
    <col min="4" max="16384" width="9" style="1"/>
  </cols>
  <sheetData>
    <row r="1" spans="1:5" x14ac:dyDescent="0.25">
      <c r="A1" s="1" t="s">
        <v>17</v>
      </c>
      <c r="B1" s="1" t="s">
        <v>9</v>
      </c>
      <c r="C1" s="1" t="s">
        <v>7</v>
      </c>
      <c r="D1" s="1" t="s">
        <v>8</v>
      </c>
      <c r="E1" s="1" t="s">
        <v>10</v>
      </c>
    </row>
    <row r="2" spans="1:5" x14ac:dyDescent="0.25">
      <c r="A2" s="1">
        <v>2019</v>
      </c>
      <c r="B2" s="1">
        <v>1</v>
      </c>
      <c r="C2" s="1">
        <v>59874</v>
      </c>
      <c r="D2" s="1">
        <v>61354</v>
      </c>
      <c r="E2" s="1">
        <f>D2-C2</f>
        <v>1480</v>
      </c>
    </row>
    <row r="3" spans="1:5" x14ac:dyDescent="0.25">
      <c r="A3" s="1">
        <v>2019</v>
      </c>
      <c r="B3" s="1">
        <v>2</v>
      </c>
      <c r="C3" s="1">
        <v>23546</v>
      </c>
      <c r="D3" s="1">
        <v>84621</v>
      </c>
      <c r="E3" s="1">
        <f t="shared" ref="E3:E13" si="0">D3-C3</f>
        <v>61075</v>
      </c>
    </row>
    <row r="4" spans="1:5" x14ac:dyDescent="0.25">
      <c r="A4" s="1">
        <v>2019</v>
      </c>
      <c r="B4" s="1">
        <v>3</v>
      </c>
      <c r="C4" s="1">
        <v>61234</v>
      </c>
      <c r="D4" s="1">
        <v>71235</v>
      </c>
      <c r="E4" s="1">
        <f t="shared" si="0"/>
        <v>10001</v>
      </c>
    </row>
    <row r="5" spans="1:5" x14ac:dyDescent="0.25">
      <c r="A5" s="1">
        <v>2019</v>
      </c>
      <c r="B5" s="1">
        <v>4</v>
      </c>
      <c r="C5" s="1">
        <v>32545</v>
      </c>
      <c r="D5" s="1">
        <v>84562</v>
      </c>
      <c r="E5" s="1">
        <f t="shared" si="0"/>
        <v>52017</v>
      </c>
    </row>
    <row r="6" spans="1:5" x14ac:dyDescent="0.25">
      <c r="A6" s="1">
        <v>2019</v>
      </c>
      <c r="B6" s="1">
        <v>5</v>
      </c>
      <c r="C6" s="1">
        <v>56984</v>
      </c>
      <c r="D6" s="1">
        <v>61235</v>
      </c>
      <c r="E6" s="1">
        <f t="shared" si="0"/>
        <v>4251</v>
      </c>
    </row>
    <row r="7" spans="1:5" x14ac:dyDescent="0.25">
      <c r="A7" s="1">
        <v>2019</v>
      </c>
      <c r="B7" s="1">
        <v>6</v>
      </c>
      <c r="C7" s="1">
        <v>42513</v>
      </c>
      <c r="D7" s="1">
        <v>54213</v>
      </c>
      <c r="E7" s="1">
        <f t="shared" si="0"/>
        <v>11700</v>
      </c>
    </row>
    <row r="8" spans="1:5" x14ac:dyDescent="0.25">
      <c r="A8" s="1">
        <v>2019</v>
      </c>
      <c r="B8" s="1">
        <v>7</v>
      </c>
      <c r="C8" s="1">
        <v>41352</v>
      </c>
      <c r="D8" s="1">
        <v>61235</v>
      </c>
      <c r="E8" s="1">
        <f t="shared" si="0"/>
        <v>19883</v>
      </c>
    </row>
    <row r="9" spans="1:5" x14ac:dyDescent="0.25">
      <c r="A9" s="1">
        <v>2019</v>
      </c>
      <c r="B9" s="1">
        <v>8</v>
      </c>
      <c r="C9" s="1">
        <v>51234</v>
      </c>
      <c r="D9" s="1">
        <v>74123</v>
      </c>
      <c r="E9" s="1">
        <f t="shared" si="0"/>
        <v>22889</v>
      </c>
    </row>
    <row r="10" spans="1:5" x14ac:dyDescent="0.25">
      <c r="A10" s="1">
        <v>2019</v>
      </c>
      <c r="B10" s="1">
        <v>9</v>
      </c>
      <c r="C10" s="1">
        <v>78612</v>
      </c>
      <c r="D10" s="1">
        <v>75513</v>
      </c>
      <c r="E10" s="1">
        <f t="shared" si="0"/>
        <v>-3099</v>
      </c>
    </row>
    <row r="11" spans="1:5" x14ac:dyDescent="0.25">
      <c r="A11" s="1">
        <v>2019</v>
      </c>
      <c r="B11" s="1">
        <v>10</v>
      </c>
      <c r="C11" s="1">
        <v>46231</v>
      </c>
      <c r="D11" s="1">
        <v>41253</v>
      </c>
      <c r="E11" s="1">
        <f t="shared" si="0"/>
        <v>-4978</v>
      </c>
    </row>
    <row r="12" spans="1:5" x14ac:dyDescent="0.25">
      <c r="A12" s="1">
        <v>2019</v>
      </c>
      <c r="B12" s="1">
        <v>11</v>
      </c>
      <c r="C12" s="1">
        <v>58642</v>
      </c>
      <c r="D12" s="1">
        <v>51423</v>
      </c>
      <c r="E12" s="1">
        <f t="shared" si="0"/>
        <v>-7219</v>
      </c>
    </row>
    <row r="13" spans="1:5" x14ac:dyDescent="0.25">
      <c r="A13" s="1">
        <v>2019</v>
      </c>
      <c r="B13" s="1">
        <v>12</v>
      </c>
      <c r="C13" s="1">
        <v>51326</v>
      </c>
      <c r="D13" s="1">
        <v>62145</v>
      </c>
      <c r="E13" s="1">
        <f t="shared" si="0"/>
        <v>10819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9E4B6-7B23-47DE-ACA2-9FB9A3DD306C}">
  <sheetPr codeName="工作表5"/>
  <dimension ref="A1:C1"/>
  <sheetViews>
    <sheetView workbookViewId="0">
      <selection activeCell="E8" sqref="E8"/>
    </sheetView>
  </sheetViews>
  <sheetFormatPr defaultRowHeight="16.5" x14ac:dyDescent="0.25"/>
  <sheetData>
    <row r="1" spans="1:3" x14ac:dyDescent="0.25">
      <c r="A1" t="s">
        <v>0</v>
      </c>
      <c r="B1" t="s">
        <v>13</v>
      </c>
      <c r="C1" t="s">
        <v>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440CF-B4BC-404A-AD4A-1C441EEC689E}">
  <sheetPr codeName="工作表27"/>
  <dimension ref="A1:B6"/>
  <sheetViews>
    <sheetView tabSelected="1" workbookViewId="0"/>
  </sheetViews>
  <sheetFormatPr defaultRowHeight="16.5" x14ac:dyDescent="0.25"/>
  <sheetData>
    <row r="1" spans="1:2" x14ac:dyDescent="0.25">
      <c r="A1" t="s">
        <v>22</v>
      </c>
      <c r="B1" t="s">
        <v>23</v>
      </c>
    </row>
    <row r="2" spans="1:2" x14ac:dyDescent="0.25">
      <c r="A2" t="s">
        <v>42</v>
      </c>
      <c r="B2">
        <v>820</v>
      </c>
    </row>
    <row r="3" spans="1:2" x14ac:dyDescent="0.25">
      <c r="A3" t="s">
        <v>37</v>
      </c>
      <c r="B3">
        <v>1590</v>
      </c>
    </row>
    <row r="4" spans="1:2" x14ac:dyDescent="0.25">
      <c r="A4" t="s">
        <v>41</v>
      </c>
      <c r="B4">
        <v>130</v>
      </c>
    </row>
    <row r="5" spans="1:2" x14ac:dyDescent="0.25">
      <c r="A5" t="s">
        <v>40</v>
      </c>
      <c r="B5">
        <v>300</v>
      </c>
    </row>
    <row r="6" spans="1:2" x14ac:dyDescent="0.25">
      <c r="A6" t="s">
        <v>27</v>
      </c>
      <c r="B6">
        <v>1200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成本</vt:lpstr>
      <vt:lpstr>收益</vt:lpstr>
      <vt:lpstr>成本收益比較</vt:lpstr>
      <vt:lpstr>圖表-收益</vt:lpstr>
      <vt:lpstr>圖表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Fanny</dc:creator>
  <cp:lastModifiedBy>Fanny</cp:lastModifiedBy>
  <dcterms:created xsi:type="dcterms:W3CDTF">2020-07-17T11:27:57Z</dcterms:created>
  <dcterms:modified xsi:type="dcterms:W3CDTF">2020-07-24T03:02:04Z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70dc8844-d20d-4c78-96b8-d24373a017f4</vt:lpwstr>
  </property>
</Properties>
</file>